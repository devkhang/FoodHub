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ducbao/Documents/University/KiemThuPhanMem/DoAn/BiteBuddy_WebApp/FoodHub/Tai lieu bao cao/Functionality Testing/"/>
    </mc:Choice>
  </mc:AlternateContent>
  <xr:revisionPtr revIDLastSave="0" documentId="13_ncr:1_{936934C7-59CB-3349-8882-8E5B1A7AB0DC}" xr6:coauthVersionLast="47" xr6:coauthVersionMax="47" xr10:uidLastSave="{00000000-0000-0000-0000-000000000000}"/>
  <bookViews>
    <workbookView xWindow="0" yWindow="0" windowWidth="24700" windowHeight="18000" tabRatio="821" activeTab="1" xr2:uid="{00000000-000D-0000-FFFF-FFFF00000000}"/>
  </bookViews>
  <sheets>
    <sheet name="Cover" sheetId="1" r:id="rId1"/>
    <sheet name="Test case List" sheetId="2" r:id="rId2"/>
    <sheet name="Menu" sheetId="3" r:id="rId3"/>
    <sheet name="Test Report" sheetId="5" r:id="rId4"/>
  </sheets>
  <definedNames>
    <definedName name="_xlnm._FilterDatabase" localSheetId="2" hidden="1">Menu!$A$8:$H$11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3" l="1"/>
  <c r="F6" i="3"/>
  <c r="C6" i="1"/>
  <c r="D3" i="2"/>
  <c r="D4" i="2"/>
  <c r="D14" i="5"/>
  <c r="B6" i="3"/>
  <c r="E14" i="5" s="1"/>
  <c r="E6" i="3"/>
  <c r="G14" i="5" s="1"/>
  <c r="C5" i="5"/>
  <c r="D6" i="3" l="1"/>
  <c r="H14" i="5" l="1"/>
  <c r="F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00000000-0006-0000-0000-000001000000}">
      <text>
        <r>
          <rPr>
            <b/>
            <sz val="10"/>
            <color indexed="8"/>
            <rFont val="Times New Roman"/>
            <family val="1"/>
          </rPr>
          <t>*A</t>
        </r>
        <r>
          <rPr>
            <sz val="10"/>
            <color indexed="8"/>
            <rFont val="Times New Roman"/>
            <family val="1"/>
          </rPr>
          <t xml:space="preserve">: Add
  </t>
        </r>
        <r>
          <rPr>
            <b/>
            <sz val="10"/>
            <color indexed="8"/>
            <rFont val="Times New Roman"/>
            <family val="1"/>
          </rPr>
          <t>M</t>
        </r>
        <r>
          <rPr>
            <sz val="10"/>
            <color indexed="8"/>
            <rFont val="Times New Roman"/>
            <family val="1"/>
          </rPr>
          <t xml:space="preserve">: Modify
  </t>
        </r>
        <r>
          <rPr>
            <b/>
            <sz val="10"/>
            <color indexed="8"/>
            <rFont val="Times New Roman"/>
            <family val="1"/>
          </rPr>
          <t>D</t>
        </r>
        <r>
          <rPr>
            <sz val="10"/>
            <color indexed="8"/>
            <rFont val="Times New Roman"/>
            <family val="1"/>
          </rPr>
          <t xml:space="preserve">: Delete
</t>
        </r>
      </text>
    </comment>
  </commentList>
</comments>
</file>

<file path=xl/sharedStrings.xml><?xml version="1.0" encoding="utf-8"?>
<sst xmlns="http://schemas.openxmlformats.org/spreadsheetml/2006/main" count="139" uniqueCount="101">
  <si>
    <t>TEST CASE</t>
  </si>
  <si>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</si>
  <si>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</si>
  <si>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</si>
  <si>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</si>
  <si>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</si>
  <si>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</si>
  <si>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</si>
  <si>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</si>
  <si>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</si>
  <si>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</si>
  <si>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</si>
  <si>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</si>
  <si>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</si>
  <si>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</si>
  <si>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</si>
  <si>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</si>
  <si>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</si>
  <si>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</si>
  <si>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</si>
  <si>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</si>
  <si>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</si>
  <si>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</si>
  <si>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</si>
  <si>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</si>
  <si>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Module Code</t>
  </si>
  <si>
    <t>Pass</t>
  </si>
  <si>
    <t>Test requirement</t>
  </si>
  <si>
    <t>Fail</t>
  </si>
  <si>
    <t>Tester</t>
  </si>
  <si>
    <t>Untested</t>
  </si>
  <si>
    <t>N/A</t>
  </si>
  <si>
    <t>Number of Test cases</t>
  </si>
  <si>
    <t>Untesed</t>
  </si>
  <si>
    <t>ID</t>
  </si>
  <si>
    <t>Test Case Description</t>
  </si>
  <si>
    <t>Expected Output</t>
  </si>
  <si>
    <t>Result</t>
  </si>
  <si>
    <t>TEST REPORT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</si>
  <si>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</si>
  <si>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</si>
  <si>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</si>
  <si>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</si>
  <si>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Number of  test cases</t>
  </si>
  <si>
    <t>Sub total</t>
  </si>
  <si>
    <t>Test coverage</t>
  </si>
  <si>
    <t>%</t>
  </si>
  <si>
    <t>Test successful coverage</t>
  </si>
  <si>
    <t>&lt;List of documents which are referred in this version.&gt;</t>
  </si>
  <si>
    <t>Test data</t>
    <phoneticPr fontId="0" type="noConversion"/>
  </si>
  <si>
    <t>Description</t>
    <phoneticPr fontId="0" type="noConversion"/>
  </si>
  <si>
    <t>Pre-condition</t>
  </si>
  <si>
    <t>SEARCH_ITEM_01_001</t>
  </si>
  <si>
    <t>SEARCH_ITEM_01_002</t>
  </si>
  <si>
    <t>ADD_ITEM_01_001</t>
  </si>
  <si>
    <t>ADD_ITEM_01_002</t>
  </si>
  <si>
    <t>ADD_ITEM_01_003</t>
  </si>
  <si>
    <t>ADD_ITEM_01_004</t>
  </si>
  <si>
    <t>Menu management</t>
  </si>
  <si>
    <t>Người dùng đăng nhập thành công với vai trò "seller"
Trong kho dữ liệu của "seller" có tồn tại món ăn: 
+ Title = "bánh kem"</t>
  </si>
  <si>
    <t>MODIFY_ITEM_01_001</t>
  </si>
  <si>
    <t>MODIFY_ITEM_01_002</t>
  </si>
  <si>
    <t>MODIFY_ITEM_01_003</t>
  </si>
  <si>
    <t>REMOVE_ITEM_01_004</t>
  </si>
  <si>
    <t>Menu</t>
  </si>
  <si>
    <t>Test Case Procedure</t>
  </si>
  <si>
    <t>Kiểm thử trường hợp sử dụng (UC Testing)</t>
  </si>
  <si>
    <t>Kiểm thử bảng quyết định (DT Testing)</t>
  </si>
  <si>
    <t>Menu Management</t>
  </si>
  <si>
    <t>Successfully searched food data</t>
  </si>
  <si>
    <t>Food searching failed when the input value is incorrect or the food does not exist.</t>
  </si>
  <si>
    <t xml:space="preserve">Successfully create new food </t>
  </si>
  <si>
    <t>Creating food failed when missing value</t>
  </si>
  <si>
    <t>Creating a new food failed when any input field does not meet the minimum length requirement</t>
  </si>
  <si>
    <t>Creating a new food failed when user choose to absort the proccess</t>
  </si>
  <si>
    <t>Updating food data successfully</t>
  </si>
  <si>
    <t>Updating food failed when the edited "Title" is invalid (≤ 4 characters)</t>
  </si>
  <si>
    <t>Updating food failed when user choose to absort the proccess</t>
  </si>
  <si>
    <t xml:space="preserve">Delete food data </t>
  </si>
  <si>
    <t>User successfully logs in with the "seller" role and the seller's account
Existed list of foods in the database</t>
  </si>
  <si>
    <t>User successfully logs in with the "seller" role and the seller's account</t>
  </si>
  <si>
    <t>1. Successfully logged-in with role "seller":
(ducbao098@gmail.com, ducgiabao)
2. Input search bar: "gelato"</t>
  </si>
  <si>
    <t>1. Successfully logged-in with role "seller":
(ducbao098@gmail.com, ducgiabao)
2. Input search bar: "12"</t>
  </si>
  <si>
    <t>1. Successfully logged-in with role "seller":
(ducbao098@gmail.com, ducgiabao)
2. Input Title value: "bánh kem"
3. Input Description value: "ngon"
4. Choose or input Price value: Price = 7
5. Choose image file = "picture12.png"
Click "SUBMIT" button</t>
  </si>
  <si>
    <t>1. Successfully logged-in with role "seller":
(ducbao098@gmail.com, ducgiabao)
2. Input Title value: "bánh kem"
3. Choose or input Price value: Price = 7
4. Choose image file = "picture12.png"
Click "SUBMIT" button</t>
  </si>
  <si>
    <t>1. Successfully logged-in with role "seller":
(ducbao098@gmail.com, ducgiabao)
2. Input Title value: "bánh kem"
3. Input Description value: "dở"
4. Choose or input Price value: Price = 7
5. Choose image file = "picture12.png"
Click "SUBMIT" button</t>
  </si>
  <si>
    <t>1. Successfully logged-in with role "seller":
(ducbao098@gmail.com, ducgiabao)
2. Input Title value: "bánh kem"
3. Input Description value: "ngon"
4. Choose or input Price value: Price = 7
5. Choose image file = "picture12.png"
Click "CANCEL" button</t>
  </si>
  <si>
    <t>1. Successfully logged-in with role "seller":
(ducbao098@gmail.com, ducgiabao)
2. Change Title value: "bánh kem" into "bánh trung thu"
Click "SUBMIT" button</t>
  </si>
  <si>
    <t>1. Successfully logged-in with role "seller":
(ducbao098@gmail.com, ducgiabao)
2. Change Title value: "bánh kem" into "ma"
Click "SUBMIT" button</t>
  </si>
  <si>
    <t>1. Successfully logged-in with role "seller":
(ducbao098@gmail.com, ducgiabao)
2. Change Title value: "bánh kem" into "bánh trung thu"
Click "CANCEL" button</t>
  </si>
  <si>
    <t>1. Successfully logged-in with role "seller":
(ducbao098@gmail.com, ducgiabao)
2. Click "REMOVE" button in which food has Title = "bánh kem"</t>
  </si>
  <si>
    <t>System correctly displays dish information whose name matches or is relevant to the search keyword</t>
  </si>
  <si>
    <t>System responses "No Items present, start adding Items to get your first order."</t>
  </si>
  <si>
    <t>New food updated to database
System response new food data</t>
  </si>
  <si>
    <t>New food not created
System response "Description needs to be at least 4 characters long"</t>
  </si>
  <si>
    <t>New food not created</t>
  </si>
  <si>
    <t>Food data updated to database</t>
  </si>
  <si>
    <t>Food data is not updated to database
System responses "Title needs to be at least 4 characters long"</t>
  </si>
  <si>
    <t>Food data is not updated to database</t>
  </si>
  <si>
    <t>Food data deleted</t>
  </si>
  <si>
    <t>MenuManagement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</si>
</sst>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-mmm\-yy;@"/>
  </numFmts>
  <fonts count="23">
    <font>
      <sz val="11"/>
      <name val="ＭＳ Ｐゴシック"/>
      <family val="3"/>
      <charset val="128"/>
    </font>
    <font>
      <sz val="10"/>
      <name val="Arial"/>
      <family val="2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2"/>
      <color indexed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10"/>
      <name val="Tahoma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family val="3"/>
      <charset val="128"/>
    </font>
    <font>
      <b/>
      <sz val="10"/>
      <color theme="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theme="0"/>
        <bgColor indexed="26"/>
      </patternFill>
    </fill>
    <fill>
      <patternFill patternType="solid">
        <fgColor rgb="FFFFFFFF"/>
        <bgColor rgb="FFFFFFCC"/>
      </patternFill>
    </fill>
    <fill>
      <patternFill patternType="solid">
        <fgColor theme="9"/>
        <bgColor indexed="32"/>
      </patternFill>
    </fill>
    <fill>
      <patternFill patternType="solid">
        <fgColor theme="9"/>
        <bgColor indexed="26"/>
      </patternFill>
    </fill>
  </fills>
  <borders count="3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6" fillId="0" borderId="0" applyNumberFormat="0" applyFill="0" applyBorder="0" applyAlignment="0" applyProtection="0"/>
    <xf numFmtId="0" fontId="21" fillId="0" borderId="0"/>
    <xf numFmtId="0" fontId="21" fillId="0" borderId="0"/>
    <xf numFmtId="0" fontId="2" fillId="0" borderId="0"/>
  </cellStyleXfs>
  <cellXfs count="14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indent="1"/>
    </xf>
    <xf numFmtId="0" fontId="8" fillId="0" borderId="0" xfId="0" applyFont="1" applyAlignment="1">
      <alignment horizontal="left" indent="1"/>
    </xf>
    <xf numFmtId="0" fontId="3" fillId="2" borderId="0" xfId="0" applyFont="1" applyFill="1"/>
    <xf numFmtId="0" fontId="7" fillId="2" borderId="2" xfId="0" applyFont="1" applyFill="1" applyBorder="1" applyAlignment="1">
      <alignment horizontal="left"/>
    </xf>
    <xf numFmtId="0" fontId="3" fillId="0" borderId="3" xfId="0" applyFont="1" applyBorder="1"/>
    <xf numFmtId="0" fontId="7" fillId="2" borderId="2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left" indent="1"/>
    </xf>
    <xf numFmtId="0" fontId="7" fillId="2" borderId="0" xfId="0" applyFont="1" applyFill="1"/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164" fontId="9" fillId="3" borderId="4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3" fillId="0" borderId="0" xfId="0" applyFont="1" applyAlignment="1">
      <alignment vertical="top"/>
    </xf>
    <xf numFmtId="0" fontId="8" fillId="0" borderId="7" xfId="0" applyFont="1" applyBorder="1" applyAlignment="1">
      <alignment vertical="top" wrapText="1"/>
    </xf>
    <xf numFmtId="49" fontId="3" fillId="0" borderId="8" xfId="0" applyNumberFormat="1" applyFont="1" applyBorder="1" applyAlignment="1">
      <alignment vertical="top"/>
    </xf>
    <xf numFmtId="0" fontId="3" fillId="0" borderId="8" xfId="0" applyFont="1" applyBorder="1" applyAlignment="1">
      <alignment vertical="top"/>
    </xf>
    <xf numFmtId="15" fontId="3" fillId="0" borderId="8" xfId="0" applyNumberFormat="1" applyFont="1" applyBorder="1" applyAlignment="1">
      <alignment vertical="top"/>
    </xf>
    <xf numFmtId="0" fontId="8" fillId="0" borderId="9" xfId="0" applyFont="1" applyBorder="1" applyAlignment="1">
      <alignment vertical="top" wrapText="1"/>
    </xf>
    <xf numFmtId="164" fontId="3" fillId="0" borderId="7" xfId="0" applyNumberFormat="1" applyFont="1" applyBorder="1" applyAlignment="1">
      <alignment vertical="top"/>
    </xf>
    <xf numFmtId="0" fontId="3" fillId="0" borderId="9" xfId="0" applyFont="1" applyBorder="1" applyAlignment="1">
      <alignment vertical="top"/>
    </xf>
    <xf numFmtId="164" fontId="3" fillId="0" borderId="10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1" fontId="3" fillId="2" borderId="0" xfId="0" applyNumberFormat="1" applyFont="1" applyFill="1"/>
    <xf numFmtId="0" fontId="3" fillId="2" borderId="0" xfId="0" applyFont="1" applyFill="1" applyAlignment="1">
      <alignment horizontal="left"/>
    </xf>
    <xf numFmtId="1" fontId="3" fillId="2" borderId="0" xfId="0" applyNumberFormat="1" applyFont="1" applyFill="1" applyProtection="1">
      <protection hidden="1"/>
    </xf>
    <xf numFmtId="0" fontId="6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  <xf numFmtId="0" fontId="3" fillId="2" borderId="0" xfId="0" applyFont="1" applyFill="1" applyAlignment="1">
      <alignment wrapText="1"/>
    </xf>
    <xf numFmtId="1" fontId="7" fillId="2" borderId="0" xfId="0" applyNumberFormat="1" applyFont="1" applyFill="1"/>
    <xf numFmtId="0" fontId="3" fillId="2" borderId="0" xfId="0" applyFont="1" applyFill="1" applyAlignment="1">
      <alignment vertical="center"/>
    </xf>
    <xf numFmtId="1" fontId="3" fillId="2" borderId="0" xfId="0" applyNumberFormat="1" applyFont="1" applyFill="1" applyAlignment="1" applyProtection="1">
      <alignment vertical="center"/>
      <protection hidden="1"/>
    </xf>
    <xf numFmtId="0" fontId="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/>
    </xf>
    <xf numFmtId="1" fontId="9" fillId="4" borderId="4" xfId="0" applyNumberFormat="1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1" fontId="3" fillId="2" borderId="7" xfId="0" applyNumberFormat="1" applyFont="1" applyFill="1" applyBorder="1" applyAlignment="1">
      <alignment vertical="center"/>
    </xf>
    <xf numFmtId="49" fontId="3" fillId="2" borderId="8" xfId="0" applyNumberFormat="1" applyFont="1" applyFill="1" applyBorder="1" applyAlignment="1">
      <alignment horizontal="left" vertical="center"/>
    </xf>
    <xf numFmtId="0" fontId="15" fillId="2" borderId="8" xfId="1" applyNumberFormat="1" applyFont="1" applyFill="1" applyBorder="1" applyAlignment="1" applyProtection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1" fontId="3" fillId="2" borderId="10" xfId="0" applyNumberFormat="1" applyFont="1" applyFill="1" applyBorder="1" applyAlignment="1">
      <alignment vertical="center"/>
    </xf>
    <xf numFmtId="49" fontId="3" fillId="2" borderId="11" xfId="0" applyNumberFormat="1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17" fillId="2" borderId="0" xfId="0" applyFont="1" applyFill="1"/>
    <xf numFmtId="0" fontId="18" fillId="2" borderId="14" xfId="0" applyFont="1" applyFill="1" applyBorder="1"/>
    <xf numFmtId="0" fontId="18" fillId="2" borderId="14" xfId="0" applyFont="1" applyFill="1" applyBorder="1" applyAlignment="1">
      <alignment wrapText="1"/>
    </xf>
    <xf numFmtId="0" fontId="3" fillId="2" borderId="14" xfId="0" applyFont="1" applyFill="1" applyBorder="1" applyAlignment="1">
      <alignment wrapText="1"/>
    </xf>
    <xf numFmtId="0" fontId="17" fillId="2" borderId="0" xfId="0" applyFont="1" applyFill="1" applyAlignment="1">
      <alignment wrapText="1"/>
    </xf>
    <xf numFmtId="0" fontId="18" fillId="2" borderId="0" xfId="0" applyFont="1" applyFill="1"/>
    <xf numFmtId="0" fontId="14" fillId="2" borderId="15" xfId="3" applyFont="1" applyFill="1" applyBorder="1" applyAlignment="1">
      <alignment horizontal="left" wrapText="1"/>
    </xf>
    <xf numFmtId="0" fontId="14" fillId="2" borderId="16" xfId="3" applyFont="1" applyFill="1" applyBorder="1" applyAlignment="1">
      <alignment horizontal="left" wrapText="1"/>
    </xf>
    <xf numFmtId="0" fontId="12" fillId="2" borderId="0" xfId="0" applyFont="1" applyFill="1"/>
    <xf numFmtId="0" fontId="12" fillId="2" borderId="16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17" fillId="2" borderId="0" xfId="0" applyFont="1" applyFill="1" applyAlignment="1">
      <alignment horizontal="center" wrapText="1"/>
    </xf>
    <xf numFmtId="0" fontId="18" fillId="2" borderId="17" xfId="0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wrapText="1"/>
    </xf>
    <xf numFmtId="0" fontId="9" fillId="3" borderId="2" xfId="3" applyFont="1" applyFill="1" applyBorder="1" applyAlignment="1">
      <alignment horizontal="center" vertical="center" wrapText="1"/>
    </xf>
    <xf numFmtId="0" fontId="9" fillId="3" borderId="20" xfId="3" applyFont="1" applyFill="1" applyBorder="1" applyAlignment="1">
      <alignment horizontal="center" vertical="center" wrapText="1"/>
    </xf>
    <xf numFmtId="0" fontId="13" fillId="2" borderId="0" xfId="3" applyFont="1" applyFill="1" applyAlignment="1">
      <alignment horizontal="center" vertical="center" wrapText="1"/>
    </xf>
    <xf numFmtId="0" fontId="17" fillId="2" borderId="0" xfId="0" applyFont="1" applyFill="1" applyAlignment="1">
      <alignment vertical="top" wrapText="1"/>
    </xf>
    <xf numFmtId="0" fontId="18" fillId="2" borderId="0" xfId="0" applyFont="1" applyFill="1" applyAlignment="1">
      <alignment vertical="top"/>
    </xf>
    <xf numFmtId="0" fontId="14" fillId="2" borderId="0" xfId="2" applyFont="1" applyFill="1"/>
    <xf numFmtId="0" fontId="3" fillId="2" borderId="0" xfId="2" applyFont="1" applyFill="1"/>
    <xf numFmtId="164" fontId="3" fillId="2" borderId="0" xfId="2" applyNumberFormat="1" applyFont="1" applyFill="1"/>
    <xf numFmtId="0" fontId="7" fillId="2" borderId="3" xfId="0" applyFont="1" applyFill="1" applyBorder="1" applyAlignment="1">
      <alignment horizontal="left"/>
    </xf>
    <xf numFmtId="0" fontId="3" fillId="2" borderId="3" xfId="0" applyFont="1" applyFill="1" applyBorder="1" applyAlignment="1">
      <alignment vertical="top"/>
    </xf>
    <xf numFmtId="0" fontId="7" fillId="2" borderId="2" xfId="0" applyFont="1" applyFill="1" applyBorder="1" applyAlignment="1">
      <alignment vertical="center"/>
    </xf>
    <xf numFmtId="0" fontId="8" fillId="2" borderId="3" xfId="0" applyFont="1" applyFill="1" applyBorder="1" applyAlignment="1">
      <alignment vertical="top"/>
    </xf>
    <xf numFmtId="0" fontId="8" fillId="2" borderId="0" xfId="2" applyFont="1" applyFill="1"/>
    <xf numFmtId="0" fontId="3" fillId="2" borderId="21" xfId="0" applyFont="1" applyFill="1" applyBorder="1"/>
    <xf numFmtId="0" fontId="9" fillId="3" borderId="22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 wrapText="1"/>
    </xf>
    <xf numFmtId="0" fontId="9" fillId="3" borderId="13" xfId="0" applyFont="1" applyFill="1" applyBorder="1" applyAlignment="1">
      <alignment horizontal="center"/>
    </xf>
    <xf numFmtId="0" fontId="9" fillId="3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/>
    </xf>
    <xf numFmtId="0" fontId="3" fillId="2" borderId="8" xfId="0" applyFont="1" applyFill="1" applyBorder="1"/>
    <xf numFmtId="0" fontId="3" fillId="2" borderId="8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19" fillId="3" borderId="27" xfId="0" applyFont="1" applyFill="1" applyBorder="1" applyAlignment="1">
      <alignment horizontal="center"/>
    </xf>
    <xf numFmtId="0" fontId="9" fillId="3" borderId="11" xfId="0" applyFont="1" applyFill="1" applyBorder="1"/>
    <xf numFmtId="0" fontId="19" fillId="3" borderId="11" xfId="0" applyFont="1" applyFill="1" applyBorder="1" applyAlignment="1">
      <alignment horizontal="center"/>
    </xf>
    <xf numFmtId="0" fontId="19" fillId="3" borderId="28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0" fontId="3" fillId="2" borderId="0" xfId="0" applyNumberFormat="1" applyFont="1" applyFill="1" applyAlignment="1">
      <alignment horizontal="center"/>
    </xf>
    <xf numFmtId="9" fontId="3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left"/>
    </xf>
    <xf numFmtId="2" fontId="20" fillId="2" borderId="0" xfId="0" applyNumberFormat="1" applyFont="1" applyFill="1" applyAlignment="1">
      <alignment horizontal="right" wrapText="1"/>
    </xf>
    <xf numFmtId="0" fontId="1" fillId="2" borderId="2" xfId="3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0" fontId="15" fillId="2" borderId="8" xfId="1" applyNumberFormat="1" applyFont="1" applyFill="1" applyBorder="1" applyAlignment="1" applyProtection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1" fillId="2" borderId="2" xfId="3" applyFont="1" applyFill="1" applyBorder="1" applyAlignment="1">
      <alignment horizontal="center" vertical="center" wrapText="1"/>
    </xf>
    <xf numFmtId="0" fontId="1" fillId="5" borderId="2" xfId="3" applyFont="1" applyFill="1" applyBorder="1" applyAlignment="1">
      <alignment vertical="center" wrapText="1"/>
    </xf>
    <xf numFmtId="0" fontId="16" fillId="2" borderId="8" xfId="1" applyNumberFormat="1" applyFill="1" applyBorder="1" applyAlignment="1" applyProtection="1">
      <alignment horizontal="left" vertical="center"/>
    </xf>
    <xf numFmtId="0" fontId="1" fillId="6" borderId="34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/>
    </xf>
    <xf numFmtId="0" fontId="7" fillId="2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1" fontId="7" fillId="2" borderId="2" xfId="0" applyNumberFormat="1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top" wrapText="1"/>
    </xf>
    <xf numFmtId="1" fontId="7" fillId="2" borderId="1" xfId="0" applyNumberFormat="1" applyFont="1" applyFill="1" applyBorder="1"/>
    <xf numFmtId="0" fontId="8" fillId="2" borderId="2" xfId="0" applyFont="1" applyFill="1" applyBorder="1" applyAlignment="1">
      <alignment horizontal="left"/>
    </xf>
    <xf numFmtId="0" fontId="22" fillId="8" borderId="1" xfId="3" applyFont="1" applyFill="1" applyBorder="1" applyAlignment="1">
      <alignment horizontal="center" vertical="center" wrapText="1"/>
    </xf>
    <xf numFmtId="0" fontId="22" fillId="8" borderId="35" xfId="3" applyFont="1" applyFill="1" applyBorder="1" applyAlignment="1">
      <alignment horizontal="center" vertical="center" wrapText="1"/>
    </xf>
    <xf numFmtId="0" fontId="22" fillId="8" borderId="3" xfId="3" applyFont="1" applyFill="1" applyBorder="1" applyAlignment="1">
      <alignment horizontal="center" vertical="center" wrapText="1"/>
    </xf>
    <xf numFmtId="0" fontId="22" fillId="7" borderId="1" xfId="3" applyFont="1" applyFill="1" applyBorder="1" applyAlignment="1">
      <alignment horizontal="center" vertical="center" wrapText="1"/>
    </xf>
    <xf numFmtId="0" fontId="22" fillId="7" borderId="35" xfId="3" applyFont="1" applyFill="1" applyBorder="1" applyAlignment="1">
      <alignment horizontal="center" vertical="center" wrapText="1"/>
    </xf>
    <xf numFmtId="0" fontId="22" fillId="7" borderId="3" xfId="3" applyFont="1" applyFill="1" applyBorder="1" applyAlignment="1">
      <alignment horizontal="center" vertical="center" wrapText="1"/>
    </xf>
    <xf numFmtId="0" fontId="18" fillId="2" borderId="32" xfId="0" applyFont="1" applyFill="1" applyBorder="1" applyAlignment="1">
      <alignment horizontal="center" vertical="center" wrapText="1"/>
    </xf>
    <xf numFmtId="0" fontId="18" fillId="2" borderId="33" xfId="0" applyFont="1" applyFill="1" applyBorder="1" applyAlignment="1">
      <alignment horizontal="center" vertical="center" wrapText="1"/>
    </xf>
    <xf numFmtId="0" fontId="8" fillId="2" borderId="29" xfId="3" applyFont="1" applyFill="1" applyBorder="1" applyAlignment="1">
      <alignment horizontal="left" wrapText="1"/>
    </xf>
    <xf numFmtId="0" fontId="8" fillId="2" borderId="30" xfId="3" applyFont="1" applyFill="1" applyBorder="1" applyAlignment="1">
      <alignment horizontal="left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/>
    </xf>
    <xf numFmtId="0" fontId="8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center"/>
    </xf>
  </cellXfs>
  <cellStyles count="5">
    <cellStyle name="Hyperlink" xfId="1" builtinId="8"/>
    <cellStyle name="Normal" xfId="0" builtinId="0"/>
    <cellStyle name="Normal_Functional Test Case v1.0" xfId="2" xr:uid="{00000000-0005-0000-0000-000002000000}"/>
    <cellStyle name="Normal_Sheet1" xfId="3" xr:uid="{00000000-0005-0000-0000-000003000000}"/>
    <cellStyle name="標準_結合試験(AllOvertheWorld)" xfId="4" xr:uid="{00000000-0005-0000-0000-000004000000}"/>
  </cellStyles>
  <dxfs count="0"/>
  <tableStyles count="1" defaultTableStyle="TableStyleMedium9" defaultPivotStyle="PivotStyleLight16">
    <tableStyle name="Invisible" pivot="0" table="0" count="0" xr9:uid="{00000000-0011-0000-FFFF-FFFF00000000}"/>
  </tableStyles>
  <colors>
    <mruColors>
      <color rgb="FFFFFCD1"/>
      <color rgb="FFB7B7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8"/>
  <sheetViews>
    <sheetView workbookViewId="0"/>
  </sheetViews>
  <sheetFormatPr baseColWidth="10" defaultColWidth="9" defaultRowHeight="13"/>
  <cols>
    <col min="1" max="1" width="2.1640625" style="1" customWidth="1"/>
    <col min="2" max="2" width="19.6640625" style="2" customWidth="1"/>
    <col min="3" max="3" width="9.1640625" style="1" customWidth="1"/>
    <col min="4" max="4" width="14.5" style="1" customWidth="1"/>
    <col min="5" max="5" width="8" style="1" customWidth="1"/>
    <col min="6" max="6" width="31.1640625" style="1" customWidth="1"/>
    <col min="7" max="7" width="31" style="1" customWidth="1"/>
    <col min="8" max="16384" width="9" style="1"/>
  </cols>
  <sheetData>
    <row r="2" spans="1:7" s="5" customFormat="1" ht="75.75" customHeight="1">
      <c r="A2" s="3"/>
      <c r="B2" s="4"/>
      <c r="C2" s="117" t="s">
        <v>0</v>
      </c>
      <c r="D2" s="117"/>
      <c r="E2" s="117"/>
      <c r="F2" s="117"/>
      <c r="G2" s="117"/>
    </row>
    <row r="3" spans="1:7">
      <c r="B3" s="6"/>
      <c r="C3" s="7"/>
      <c r="F3" s="8"/>
    </row>
    <row r="4" spans="1:7" ht="14.25" customHeight="1">
      <c r="B4" s="9" t="s">
        <v>1</v>
      </c>
      <c r="C4" s="118" t="s">
        <v>2</v>
      </c>
      <c r="D4" s="118"/>
      <c r="E4" s="118"/>
      <c r="F4" s="9" t="s">
        <v>3</v>
      </c>
      <c r="G4" s="10"/>
    </row>
    <row r="5" spans="1:7" ht="14.25" customHeight="1">
      <c r="B5" s="9" t="s">
        <v>4</v>
      </c>
      <c r="C5" s="118" t="s">
        <v>5</v>
      </c>
      <c r="D5" s="118"/>
      <c r="E5" s="118"/>
      <c r="F5" s="9" t="s">
        <v>6</v>
      </c>
      <c r="G5" s="10"/>
    </row>
    <row r="6" spans="1:7" ht="15.75" customHeight="1">
      <c r="B6" s="119" t="s">
        <v>7</v>
      </c>
      <c r="C6" s="120" t="str">
        <f>C5&amp;"_"&amp;"XXX"&amp;"_"&amp;"vx.x"</f>
        <v>&lt;Project Code&gt;_XXX_vx.x</v>
      </c>
      <c r="D6" s="120"/>
      <c r="E6" s="120"/>
      <c r="F6" s="9" t="s">
        <v>8</v>
      </c>
      <c r="G6" s="12"/>
    </row>
    <row r="7" spans="1:7" ht="13.5" customHeight="1">
      <c r="B7" s="119"/>
      <c r="C7" s="120"/>
      <c r="D7" s="120"/>
      <c r="E7" s="120"/>
      <c r="F7" s="9" t="s">
        <v>9</v>
      </c>
      <c r="G7" s="12"/>
    </row>
    <row r="8" spans="1:7">
      <c r="B8" s="13"/>
      <c r="C8" s="14"/>
      <c r="F8" s="6"/>
      <c r="G8" s="7"/>
    </row>
    <row r="10" spans="1:7">
      <c r="B10" s="15" t="s">
        <v>10</v>
      </c>
    </row>
    <row r="11" spans="1:7" s="16" customFormat="1">
      <c r="B11" s="17" t="s">
        <v>11</v>
      </c>
      <c r="C11" s="18" t="s">
        <v>9</v>
      </c>
      <c r="D11" s="18" t="s">
        <v>12</v>
      </c>
      <c r="E11" s="18" t="s">
        <v>13</v>
      </c>
      <c r="F11" s="18" t="s">
        <v>14</v>
      </c>
      <c r="G11" s="19" t="s">
        <v>15</v>
      </c>
    </row>
    <row r="12" spans="1:7" s="20" customFormat="1" ht="28">
      <c r="B12" s="21" t="s">
        <v>16</v>
      </c>
      <c r="C12" s="22"/>
      <c r="D12" s="23"/>
      <c r="E12" s="23"/>
      <c r="F12" s="24"/>
      <c r="G12" s="25" t="s">
        <v>48</v>
      </c>
    </row>
    <row r="13" spans="1:7" s="20" customFormat="1" ht="21.75" customHeight="1">
      <c r="B13" s="26"/>
      <c r="C13" s="22"/>
      <c r="D13" s="23"/>
      <c r="E13" s="23"/>
      <c r="F13" s="23"/>
      <c r="G13" s="27"/>
    </row>
    <row r="14" spans="1:7" s="20" customFormat="1" ht="19.5" customHeight="1">
      <c r="B14" s="26"/>
      <c r="C14" s="22"/>
      <c r="D14" s="23"/>
      <c r="E14" s="23"/>
      <c r="F14" s="23"/>
      <c r="G14" s="27"/>
    </row>
    <row r="15" spans="1:7" s="20" customFormat="1" ht="21.75" customHeight="1">
      <c r="B15" s="26"/>
      <c r="C15" s="22"/>
      <c r="D15" s="23"/>
      <c r="E15" s="23"/>
      <c r="F15" s="23"/>
      <c r="G15" s="27"/>
    </row>
    <row r="16" spans="1:7" s="20" customFormat="1" ht="19.5" customHeight="1">
      <c r="B16" s="26"/>
      <c r="C16" s="22"/>
      <c r="D16" s="23"/>
      <c r="E16" s="23"/>
      <c r="F16" s="23"/>
      <c r="G16" s="27"/>
    </row>
    <row r="17" spans="2:7" s="20" customFormat="1" ht="21.75" customHeight="1">
      <c r="B17" s="26"/>
      <c r="C17" s="22"/>
      <c r="D17" s="23"/>
      <c r="E17" s="23"/>
      <c r="F17" s="23"/>
      <c r="G17" s="27"/>
    </row>
    <row r="18" spans="2:7" s="20" customFormat="1" ht="19.5" customHeight="1">
      <c r="B18" s="28"/>
      <c r="C18" s="29"/>
      <c r="D18" s="30"/>
      <c r="E18" s="30"/>
      <c r="F18" s="30"/>
      <c r="G18" s="31"/>
    </row>
  </sheetData>
  <mergeCells count="5">
    <mergeCell ref="C2:G2"/>
    <mergeCell ref="C4:E4"/>
    <mergeCell ref="C5:E5"/>
    <mergeCell ref="B6:B7"/>
    <mergeCell ref="C6:E7"/>
  </mergeCells>
  <phoneticPr fontId="0" type="noConversion"/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v2/0&amp;C&amp;"Tahoma,Regular"&amp;8Internal use&amp;R&amp;"tahomaTahoma,Regular"&amp;8&amp;P/&amp;N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8"/>
  <sheetViews>
    <sheetView tabSelected="1" workbookViewId="0">
      <selection activeCell="C32" sqref="C32"/>
    </sheetView>
  </sheetViews>
  <sheetFormatPr baseColWidth="10" defaultColWidth="9" defaultRowHeight="13"/>
  <cols>
    <col min="1" max="1" width="1.33203125" style="8" customWidth="1"/>
    <col min="2" max="2" width="11.83203125" style="32" customWidth="1"/>
    <col min="3" max="3" width="40.5" style="33" bestFit="1" customWidth="1"/>
    <col min="4" max="4" width="17.1640625" style="33" customWidth="1"/>
    <col min="5" max="5" width="28.1640625" style="33" customWidth="1"/>
    <col min="6" max="6" width="30.6640625" style="33" customWidth="1"/>
    <col min="7" max="16384" width="9" style="8"/>
  </cols>
  <sheetData>
    <row r="1" spans="2:6" ht="25">
      <c r="B1" s="34"/>
      <c r="D1" s="35" t="s">
        <v>17</v>
      </c>
      <c r="E1" s="36"/>
    </row>
    <row r="2" spans="2:6" ht="13.5" customHeight="1">
      <c r="B2" s="34"/>
      <c r="D2" s="37"/>
      <c r="E2" s="37"/>
    </row>
    <row r="3" spans="2:6">
      <c r="B3" s="123" t="s">
        <v>1</v>
      </c>
      <c r="C3" s="123"/>
      <c r="D3" s="124" t="str">
        <f>Cover!C4</f>
        <v>&lt;Project Name&gt;</v>
      </c>
      <c r="E3" s="124"/>
      <c r="F3" s="124"/>
    </row>
    <row r="4" spans="2:6">
      <c r="B4" s="123" t="s">
        <v>4</v>
      </c>
      <c r="C4" s="123"/>
      <c r="D4" s="124" t="str">
        <f>Cover!C5</f>
        <v>&lt;Project Code&gt;</v>
      </c>
      <c r="E4" s="124"/>
      <c r="F4" s="124"/>
    </row>
    <row r="5" spans="2:6" s="38" customFormat="1" ht="84.75" customHeight="1">
      <c r="B5" s="121" t="s">
        <v>18</v>
      </c>
      <c r="C5" s="121"/>
      <c r="D5" s="122" t="s">
        <v>19</v>
      </c>
      <c r="E5" s="122"/>
      <c r="F5" s="122"/>
    </row>
    <row r="6" spans="2:6">
      <c r="B6" s="39"/>
      <c r="C6" s="8"/>
      <c r="D6" s="8"/>
      <c r="E6" s="8"/>
      <c r="F6" s="8"/>
    </row>
    <row r="7" spans="2:6" s="40" customFormat="1">
      <c r="B7" s="41"/>
      <c r="C7" s="42"/>
      <c r="D7" s="42"/>
      <c r="E7" s="42"/>
      <c r="F7" s="42"/>
    </row>
    <row r="8" spans="2:6" s="43" customFormat="1" ht="21" customHeight="1">
      <c r="B8" s="44" t="s">
        <v>20</v>
      </c>
      <c r="C8" s="45" t="s">
        <v>21</v>
      </c>
      <c r="D8" s="45" t="s">
        <v>22</v>
      </c>
      <c r="E8" s="46" t="s">
        <v>23</v>
      </c>
      <c r="F8" s="47" t="s">
        <v>24</v>
      </c>
    </row>
    <row r="9" spans="2:6" ht="14">
      <c r="B9" s="48">
        <v>1</v>
      </c>
      <c r="C9" s="49" t="s">
        <v>100</v>
      </c>
      <c r="D9" s="115" t="s">
        <v>64</v>
      </c>
      <c r="E9" s="111"/>
      <c r="F9" s="112"/>
    </row>
    <row r="10" spans="2:6">
      <c r="B10" s="48"/>
      <c r="C10" s="49"/>
      <c r="D10" s="50"/>
      <c r="E10" s="50"/>
      <c r="F10" s="51"/>
    </row>
    <row r="11" spans="2:6">
      <c r="B11" s="48"/>
      <c r="C11" s="49"/>
      <c r="D11" s="52"/>
      <c r="E11" s="52"/>
      <c r="F11" s="51"/>
    </row>
    <row r="12" spans="2:6">
      <c r="B12" s="48"/>
      <c r="C12" s="49"/>
      <c r="D12" s="52"/>
      <c r="E12" s="52"/>
      <c r="F12" s="51"/>
    </row>
    <row r="13" spans="2:6">
      <c r="B13" s="48"/>
      <c r="C13" s="49"/>
      <c r="D13" s="52"/>
      <c r="E13" s="52"/>
      <c r="F13" s="51"/>
    </row>
    <row r="14" spans="2:6">
      <c r="B14" s="48"/>
      <c r="C14" s="49"/>
      <c r="D14" s="52"/>
      <c r="E14" s="52"/>
      <c r="F14" s="51"/>
    </row>
    <row r="15" spans="2:6">
      <c r="B15" s="48"/>
      <c r="C15" s="49"/>
      <c r="D15" s="52"/>
      <c r="E15" s="52"/>
      <c r="F15" s="51"/>
    </row>
    <row r="16" spans="2:6">
      <c r="B16" s="48"/>
      <c r="C16" s="49"/>
      <c r="D16" s="52"/>
      <c r="E16" s="52"/>
      <c r="F16" s="51"/>
    </row>
    <row r="17" spans="2:6">
      <c r="B17" s="48"/>
      <c r="C17" s="49"/>
      <c r="D17" s="52"/>
      <c r="E17" s="52"/>
      <c r="F17" s="51"/>
    </row>
    <row r="18" spans="2:6">
      <c r="B18" s="53"/>
      <c r="C18" s="54"/>
      <c r="D18" s="55"/>
      <c r="E18" s="55"/>
      <c r="F18" s="56"/>
    </row>
  </sheetData>
  <mergeCells count="6">
    <mergeCell ref="B5:C5"/>
    <mergeCell ref="D5:F5"/>
    <mergeCell ref="B3:C3"/>
    <mergeCell ref="D3:F3"/>
    <mergeCell ref="B4:C4"/>
    <mergeCell ref="D4:F4"/>
  </mergeCells>
  <phoneticPr fontId="0" type="noConversion"/>
  <hyperlinks>
    <hyperlink ref="D9" location="Menu!A1" display="Menu" xr:uid="{C48C639C-7EC5-6144-A4A3-A106EFF1107B}"/>
  </hyperlinks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zoomScaleNormal="64" workbookViewId="0">
      <pane ySplit="8" topLeftCell="A9" activePane="bottomLeft" state="frozen"/>
      <selection pane="bottomLeft" activeCell="A7" sqref="A7"/>
    </sheetView>
  </sheetViews>
  <sheetFormatPr baseColWidth="10" defaultColWidth="9" defaultRowHeight="13"/>
  <cols>
    <col min="1" max="1" width="23" style="8" customWidth="1"/>
    <col min="2" max="3" width="41.83203125" style="8" customWidth="1"/>
    <col min="4" max="4" width="35" style="8" customWidth="1"/>
    <col min="5" max="5" width="28.5" style="8" customWidth="1"/>
    <col min="6" max="6" width="24.6640625" style="8" customWidth="1"/>
    <col min="7" max="7" width="18.33203125" style="8" customWidth="1"/>
    <col min="8" max="8" width="31.83203125" style="8" customWidth="1"/>
    <col min="9" max="9" width="8.1640625" style="57" customWidth="1"/>
    <col min="10" max="10" width="0" style="8" hidden="1" customWidth="1"/>
    <col min="11" max="16384" width="9" style="8"/>
  </cols>
  <sheetData>
    <row r="1" spans="1:10" s="62" customFormat="1" ht="14" thickBot="1">
      <c r="A1" s="58"/>
      <c r="B1" s="59"/>
      <c r="C1" s="59"/>
      <c r="D1" s="59"/>
      <c r="E1" s="59"/>
      <c r="F1" s="59"/>
      <c r="G1" s="60"/>
      <c r="H1" s="38"/>
      <c r="I1" s="61"/>
    </row>
    <row r="2" spans="1:10" s="62" customFormat="1" ht="15" customHeight="1">
      <c r="A2" s="63" t="s">
        <v>25</v>
      </c>
      <c r="B2" s="133" t="s">
        <v>58</v>
      </c>
      <c r="C2" s="133"/>
      <c r="D2" s="133"/>
      <c r="E2" s="133"/>
      <c r="F2" s="133"/>
      <c r="G2" s="133"/>
      <c r="H2" s="38"/>
      <c r="I2" s="61"/>
      <c r="J2" s="62" t="s">
        <v>26</v>
      </c>
    </row>
    <row r="3" spans="1:10" s="62" customFormat="1" ht="25.5" customHeight="1">
      <c r="A3" s="64" t="s">
        <v>27</v>
      </c>
      <c r="B3" s="133"/>
      <c r="C3" s="133"/>
      <c r="D3" s="133"/>
      <c r="E3" s="133"/>
      <c r="F3" s="133"/>
      <c r="G3" s="133"/>
      <c r="H3" s="38"/>
      <c r="I3" s="61"/>
      <c r="J3" s="62" t="s">
        <v>28</v>
      </c>
    </row>
    <row r="4" spans="1:10" s="62" customFormat="1" ht="18" customHeight="1">
      <c r="A4" s="63" t="s">
        <v>29</v>
      </c>
      <c r="B4" s="134"/>
      <c r="C4" s="134"/>
      <c r="D4" s="134"/>
      <c r="E4" s="134"/>
      <c r="F4" s="134"/>
      <c r="G4" s="134"/>
      <c r="H4" s="38"/>
      <c r="I4" s="61"/>
      <c r="J4" s="65"/>
    </row>
    <row r="5" spans="1:10" s="62" customFormat="1" ht="19.5" customHeight="1">
      <c r="A5" s="66" t="s">
        <v>26</v>
      </c>
      <c r="B5" s="67" t="s">
        <v>28</v>
      </c>
      <c r="C5" s="67"/>
      <c r="D5" s="67" t="s">
        <v>30</v>
      </c>
      <c r="E5" s="68" t="s">
        <v>31</v>
      </c>
      <c r="F5" s="135" t="s">
        <v>32</v>
      </c>
      <c r="G5" s="136"/>
      <c r="H5" s="69"/>
      <c r="I5" s="70"/>
      <c r="J5" s="62" t="s">
        <v>33</v>
      </c>
    </row>
    <row r="6" spans="1:10" s="62" customFormat="1" ht="15" customHeight="1" thickBot="1">
      <c r="A6" s="71">
        <f>COUNTIF(G10:G989,"Pass")-(G12="Pass")</f>
        <v>10</v>
      </c>
      <c r="B6" s="72">
        <f>COUNTIF(G10:G989,"Fail")</f>
        <v>0</v>
      </c>
      <c r="C6" s="72"/>
      <c r="D6" s="72">
        <f>F6-E6-B6-A6</f>
        <v>0</v>
      </c>
      <c r="E6" s="73">
        <f>COUNTIF(G$10:G$989,"N/A")</f>
        <v>0</v>
      </c>
      <c r="F6" s="131">
        <f>COUNTA(A10:A989)- (A12&lt;&gt;"")</f>
        <v>10</v>
      </c>
      <c r="G6" s="132"/>
      <c r="H6" s="69"/>
      <c r="I6" s="70"/>
      <c r="J6" s="62" t="s">
        <v>31</v>
      </c>
    </row>
    <row r="7" spans="1:10" s="62" customFormat="1" ht="15" customHeight="1">
      <c r="E7" s="74"/>
      <c r="F7" s="74"/>
      <c r="G7" s="69"/>
      <c r="H7" s="69"/>
      <c r="I7" s="70"/>
    </row>
    <row r="8" spans="1:10" s="62" customFormat="1" ht="25.5" customHeight="1">
      <c r="A8" s="75" t="s">
        <v>34</v>
      </c>
      <c r="B8" s="75" t="s">
        <v>35</v>
      </c>
      <c r="C8" s="75" t="s">
        <v>51</v>
      </c>
      <c r="D8" s="75" t="s">
        <v>65</v>
      </c>
      <c r="E8" s="75" t="s">
        <v>36</v>
      </c>
      <c r="F8" s="76" t="s">
        <v>49</v>
      </c>
      <c r="G8" s="76" t="s">
        <v>37</v>
      </c>
      <c r="H8" s="75" t="s">
        <v>50</v>
      </c>
      <c r="I8" s="77"/>
    </row>
    <row r="9" spans="1:10" s="62" customFormat="1" ht="25.5" customHeight="1">
      <c r="A9" s="128" t="s">
        <v>66</v>
      </c>
      <c r="B9" s="129"/>
      <c r="C9" s="129"/>
      <c r="D9" s="129"/>
      <c r="E9" s="129"/>
      <c r="F9" s="129"/>
      <c r="G9" s="129"/>
      <c r="H9" s="130"/>
      <c r="I9" s="77"/>
    </row>
    <row r="10" spans="1:10" s="79" customFormat="1" ht="85.5" customHeight="1">
      <c r="A10" s="113" t="s">
        <v>52</v>
      </c>
      <c r="B10" s="109" t="s">
        <v>69</v>
      </c>
      <c r="C10" s="108" t="s">
        <v>79</v>
      </c>
      <c r="D10" s="114" t="s">
        <v>81</v>
      </c>
      <c r="E10" s="109" t="s">
        <v>91</v>
      </c>
      <c r="F10" s="109"/>
      <c r="G10" s="108" t="s">
        <v>26</v>
      </c>
      <c r="H10" s="110"/>
      <c r="I10" s="78"/>
    </row>
    <row r="11" spans="1:10" ht="42">
      <c r="A11" s="113" t="s">
        <v>53</v>
      </c>
      <c r="B11" s="109" t="s">
        <v>70</v>
      </c>
      <c r="C11" s="108" t="s">
        <v>79</v>
      </c>
      <c r="D11" s="114" t="s">
        <v>82</v>
      </c>
      <c r="E11" s="109" t="s">
        <v>92</v>
      </c>
      <c r="F11" s="109"/>
      <c r="G11" s="108" t="s">
        <v>26</v>
      </c>
      <c r="H11" s="110"/>
      <c r="I11" s="78"/>
    </row>
    <row r="12" spans="1:10" ht="34" customHeight="1">
      <c r="A12" s="125" t="s">
        <v>67</v>
      </c>
      <c r="B12" s="126"/>
      <c r="C12" s="126"/>
      <c r="D12" s="126"/>
      <c r="E12" s="126"/>
      <c r="F12" s="126"/>
      <c r="G12" s="126"/>
      <c r="H12" s="127"/>
      <c r="I12" s="78"/>
    </row>
    <row r="13" spans="1:10" ht="98">
      <c r="A13" s="113" t="s">
        <v>54</v>
      </c>
      <c r="B13" s="109" t="s">
        <v>71</v>
      </c>
      <c r="C13" s="108" t="s">
        <v>80</v>
      </c>
      <c r="D13" s="114" t="s">
        <v>83</v>
      </c>
      <c r="E13" s="108" t="s">
        <v>93</v>
      </c>
      <c r="F13" s="109"/>
      <c r="G13" s="108" t="s">
        <v>26</v>
      </c>
      <c r="H13" s="110"/>
      <c r="I13" s="78"/>
    </row>
    <row r="14" spans="1:10" ht="84">
      <c r="A14" s="113" t="s">
        <v>55</v>
      </c>
      <c r="B14" s="109" t="s">
        <v>72</v>
      </c>
      <c r="C14" s="108" t="s">
        <v>80</v>
      </c>
      <c r="D14" s="114" t="s">
        <v>84</v>
      </c>
      <c r="E14" s="108" t="s">
        <v>94</v>
      </c>
      <c r="F14" s="109"/>
      <c r="G14" s="108" t="s">
        <v>26</v>
      </c>
      <c r="H14" s="110"/>
      <c r="I14" s="78"/>
    </row>
    <row r="15" spans="1:10" ht="98">
      <c r="A15" s="113" t="s">
        <v>56</v>
      </c>
      <c r="B15" s="109" t="s">
        <v>73</v>
      </c>
      <c r="C15" s="108" t="s">
        <v>80</v>
      </c>
      <c r="D15" s="114" t="s">
        <v>85</v>
      </c>
      <c r="E15" s="108" t="s">
        <v>94</v>
      </c>
      <c r="F15" s="109"/>
      <c r="G15" s="108" t="s">
        <v>26</v>
      </c>
      <c r="H15" s="110"/>
      <c r="I15" s="78"/>
    </row>
    <row r="16" spans="1:10" ht="98">
      <c r="A16" s="113" t="s">
        <v>57</v>
      </c>
      <c r="B16" s="109" t="s">
        <v>74</v>
      </c>
      <c r="C16" s="108" t="s">
        <v>80</v>
      </c>
      <c r="D16" s="116" t="s">
        <v>86</v>
      </c>
      <c r="E16" s="108" t="s">
        <v>95</v>
      </c>
      <c r="F16" s="109"/>
      <c r="G16" s="108" t="s">
        <v>26</v>
      </c>
      <c r="H16" s="110"/>
      <c r="I16" s="78"/>
    </row>
    <row r="17" spans="1:9" ht="70">
      <c r="A17" s="113" t="s">
        <v>60</v>
      </c>
      <c r="B17" s="109" t="s">
        <v>75</v>
      </c>
      <c r="C17" s="108" t="s">
        <v>59</v>
      </c>
      <c r="D17" s="114" t="s">
        <v>87</v>
      </c>
      <c r="E17" s="108" t="s">
        <v>96</v>
      </c>
      <c r="F17" s="109"/>
      <c r="G17" s="108" t="s">
        <v>26</v>
      </c>
      <c r="H17" s="110"/>
      <c r="I17" s="78"/>
    </row>
    <row r="18" spans="1:9" ht="70">
      <c r="A18" s="113" t="s">
        <v>61</v>
      </c>
      <c r="B18" s="109" t="s">
        <v>76</v>
      </c>
      <c r="C18" s="108" t="s">
        <v>59</v>
      </c>
      <c r="D18" s="114" t="s">
        <v>88</v>
      </c>
      <c r="E18" s="108" t="s">
        <v>97</v>
      </c>
      <c r="F18" s="109"/>
      <c r="G18" s="108" t="s">
        <v>26</v>
      </c>
      <c r="H18" s="110"/>
      <c r="I18" s="78"/>
    </row>
    <row r="19" spans="1:9" ht="70">
      <c r="A19" s="113" t="s">
        <v>62</v>
      </c>
      <c r="B19" s="109" t="s">
        <v>77</v>
      </c>
      <c r="C19" s="108" t="s">
        <v>59</v>
      </c>
      <c r="D19" s="114" t="s">
        <v>89</v>
      </c>
      <c r="E19" s="108" t="s">
        <v>98</v>
      </c>
      <c r="F19" s="109"/>
      <c r="G19" s="108" t="s">
        <v>26</v>
      </c>
      <c r="H19" s="110"/>
      <c r="I19" s="78"/>
    </row>
    <row r="20" spans="1:9" ht="56">
      <c r="A20" s="113" t="s">
        <v>63</v>
      </c>
      <c r="B20" s="109" t="s">
        <v>78</v>
      </c>
      <c r="C20" s="108" t="s">
        <v>59</v>
      </c>
      <c r="D20" s="114" t="s">
        <v>90</v>
      </c>
      <c r="E20" s="108" t="s">
        <v>99</v>
      </c>
      <c r="F20" s="109"/>
      <c r="G20" s="108" t="s">
        <v>26</v>
      </c>
      <c r="H20" s="110"/>
      <c r="I20" s="78"/>
    </row>
  </sheetData>
  <mergeCells count="7">
    <mergeCell ref="A12:H12"/>
    <mergeCell ref="A9:H9"/>
    <mergeCell ref="F6:G6"/>
    <mergeCell ref="B2:G2"/>
    <mergeCell ref="B3:G3"/>
    <mergeCell ref="B4:G4"/>
    <mergeCell ref="F5:G5"/>
  </mergeCells>
  <phoneticPr fontId="0" type="noConversion"/>
  <dataValidations count="1">
    <dataValidation type="list" allowBlank="1" showErrorMessage="1" sqref="G1:G3 G7:G8 G10:G11 G13:G136" xr:uid="{00000000-0002-0000-0200-000000000000}">
      <formula1>$J$2:$J$6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zoomScale="158" workbookViewId="0">
      <selection activeCell="C12" sqref="C12"/>
    </sheetView>
  </sheetViews>
  <sheetFormatPr baseColWidth="10" defaultColWidth="9" defaultRowHeight="13"/>
  <cols>
    <col min="1" max="1" width="9" style="8"/>
    <col min="2" max="2" width="13.5" style="8" customWidth="1"/>
    <col min="3" max="3" width="19.33203125" style="8" customWidth="1"/>
    <col min="4" max="7" width="9" style="8"/>
    <col min="8" max="9" width="33.1640625" style="8" customWidth="1"/>
    <col min="10" max="16384" width="9" style="8"/>
  </cols>
  <sheetData>
    <row r="1" spans="1:8" ht="25.5" customHeight="1">
      <c r="B1" s="139" t="s">
        <v>38</v>
      </c>
      <c r="C1" s="139"/>
      <c r="D1" s="139"/>
      <c r="E1" s="139"/>
      <c r="F1" s="139"/>
      <c r="G1" s="139"/>
      <c r="H1" s="139"/>
    </row>
    <row r="2" spans="1:8" ht="14.25" customHeight="1">
      <c r="A2" s="80"/>
      <c r="B2" s="80"/>
      <c r="C2" s="81"/>
      <c r="D2" s="81"/>
      <c r="E2" s="81"/>
      <c r="F2" s="81"/>
      <c r="G2" s="81"/>
      <c r="H2" s="82"/>
    </row>
    <row r="3" spans="1:8" ht="12" customHeight="1">
      <c r="B3" s="11" t="s">
        <v>1</v>
      </c>
      <c r="C3" s="124" t="s">
        <v>2</v>
      </c>
      <c r="D3" s="124"/>
      <c r="E3" s="137" t="s">
        <v>3</v>
      </c>
      <c r="F3" s="137"/>
      <c r="G3" s="83"/>
      <c r="H3" s="84"/>
    </row>
    <row r="4" spans="1:8" ht="12" customHeight="1">
      <c r="B4" s="11" t="s">
        <v>4</v>
      </c>
      <c r="C4" s="124" t="s">
        <v>5</v>
      </c>
      <c r="D4" s="124"/>
      <c r="E4" s="137" t="s">
        <v>6</v>
      </c>
      <c r="F4" s="137"/>
      <c r="G4" s="83"/>
      <c r="H4" s="84"/>
    </row>
    <row r="5" spans="1:8" ht="12" customHeight="1">
      <c r="B5" s="85" t="s">
        <v>7</v>
      </c>
      <c r="C5" s="124" t="str">
        <f>C4&amp;"_"&amp;"Test Report"&amp;"_"&amp;"vx.x"</f>
        <v>&lt;Project Code&gt;_Test Report_vx.x</v>
      </c>
      <c r="D5" s="124"/>
      <c r="E5" s="137" t="s">
        <v>8</v>
      </c>
      <c r="F5" s="137"/>
      <c r="G5" s="83"/>
      <c r="H5" s="86" t="s">
        <v>39</v>
      </c>
    </row>
    <row r="6" spans="1:8" ht="21.75" customHeight="1">
      <c r="A6" s="80"/>
      <c r="B6" s="85" t="s">
        <v>40</v>
      </c>
      <c r="C6" s="138" t="s">
        <v>41</v>
      </c>
      <c r="D6" s="138"/>
      <c r="E6" s="138"/>
      <c r="F6" s="138"/>
      <c r="G6" s="138"/>
      <c r="H6" s="138"/>
    </row>
    <row r="7" spans="1:8" ht="14.25" customHeight="1">
      <c r="A7" s="80"/>
      <c r="B7" s="13"/>
      <c r="C7" s="87"/>
      <c r="D7" s="81"/>
      <c r="E7" s="81"/>
      <c r="F7" s="81"/>
      <c r="G7" s="81"/>
      <c r="H7" s="82"/>
    </row>
    <row r="8" spans="1:8">
      <c r="B8" s="13"/>
      <c r="C8" s="87"/>
      <c r="D8" s="81"/>
      <c r="E8" s="81"/>
      <c r="F8" s="81"/>
      <c r="G8" s="81"/>
      <c r="H8" s="82"/>
    </row>
    <row r="10" spans="1:8" ht="14">
      <c r="A10" s="88"/>
      <c r="B10" s="89" t="s">
        <v>20</v>
      </c>
      <c r="C10" s="90" t="s">
        <v>42</v>
      </c>
      <c r="D10" s="91" t="s">
        <v>26</v>
      </c>
      <c r="E10" s="90" t="s">
        <v>28</v>
      </c>
      <c r="F10" s="90" t="s">
        <v>30</v>
      </c>
      <c r="G10" s="92" t="s">
        <v>31</v>
      </c>
      <c r="H10" s="93" t="s">
        <v>43</v>
      </c>
    </row>
    <row r="11" spans="1:8">
      <c r="A11" s="88"/>
      <c r="B11" s="94"/>
      <c r="C11" s="95" t="s">
        <v>68</v>
      </c>
      <c r="D11" s="96">
        <v>11</v>
      </c>
      <c r="E11" s="96"/>
      <c r="F11" s="96"/>
      <c r="G11" s="97"/>
      <c r="H11" s="98">
        <v>11</v>
      </c>
    </row>
    <row r="12" spans="1:8">
      <c r="A12" s="88"/>
      <c r="B12" s="94"/>
      <c r="C12" s="95"/>
      <c r="D12" s="96"/>
      <c r="E12" s="96"/>
      <c r="F12" s="96"/>
      <c r="G12" s="97"/>
      <c r="H12" s="98"/>
    </row>
    <row r="13" spans="1:8">
      <c r="A13" s="88"/>
      <c r="B13" s="94"/>
      <c r="C13" s="95"/>
      <c r="D13" s="96"/>
      <c r="E13" s="96"/>
      <c r="F13" s="96"/>
      <c r="G13" s="97"/>
      <c r="H13" s="98"/>
    </row>
    <row r="14" spans="1:8">
      <c r="A14" s="88"/>
      <c r="B14" s="99"/>
      <c r="C14" s="100" t="s">
        <v>44</v>
      </c>
      <c r="D14" s="101">
        <f>SUM(D9:D13)</f>
        <v>11</v>
      </c>
      <c r="E14" s="101">
        <f>SUM(E9:E13)</f>
        <v>0</v>
      </c>
      <c r="F14" s="101">
        <f>SUM(F9:F13)</f>
        <v>0</v>
      </c>
      <c r="G14" s="101">
        <f>SUM(G9:G13)</f>
        <v>0</v>
      </c>
      <c r="H14" s="102">
        <f>SUM(H9:H13)</f>
        <v>11</v>
      </c>
    </row>
    <row r="15" spans="1:8">
      <c r="B15" s="103"/>
      <c r="D15" s="104"/>
      <c r="E15" s="105"/>
      <c r="F15" s="105"/>
      <c r="G15" s="105"/>
      <c r="H15" s="105"/>
    </row>
    <row r="16" spans="1:8">
      <c r="C16" s="106" t="s">
        <v>45</v>
      </c>
      <c r="E16" s="107"/>
      <c r="F16" s="8" t="s">
        <v>46</v>
      </c>
      <c r="H16" s="74"/>
    </row>
    <row r="17" spans="3:8">
      <c r="C17" s="106" t="s">
        <v>47</v>
      </c>
      <c r="E17" s="107"/>
      <c r="F17" s="8" t="s">
        <v>46</v>
      </c>
      <c r="H17" s="74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honeticPr fontId="0" type="noConversion"/>
  <pageMargins left="0.74791666666666667" right="0.74791666666666667" top="0.98402777777777783" bottom="0.98402777777777772" header="0.51180555555555562" footer="0.5"/>
  <pageSetup firstPageNumber="0" orientation="landscape" horizontalDpi="300" verticalDpi="300"/>
  <headerFooter alignWithMargins="0">
    <oddFooter>&amp;L&amp;"Tahoma,Regular"&amp;8 02ae-BM/PM/HDCV/FSOFT v2/0&amp;C&amp;"tahoma,Regular"&amp;8Internal use&amp;R&amp;"Tahoma,Regular"&amp;8&amp;P/&amp;N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A2A741C5885C41AB9A358CCBEA8A85" ma:contentTypeVersion="4" ma:contentTypeDescription="Create a new document." ma:contentTypeScope="" ma:versionID="b08c537a49adf1f0264621696145d4e8">
  <xsd:schema xmlns:xsd="http://www.w3.org/2001/XMLSchema" xmlns:p="http://schemas.microsoft.com/office/2006/metadata/properties" xmlns:ns1="http://schemas.microsoft.com/sharepoint/v3" xmlns:ns2="41A7A25E-88C5-415C-AB9A-358CCBEA8A85" xmlns:ns3="cd6d2771-e08b-42a3-90f8-eca630337659" targetNamespace="http://schemas.microsoft.com/office/2006/metadata/properties" ma:root="true" ma:fieldsID="79edc66073723f43766a972d30b274e4" ns1:_="" ns2:_="" ns3:_="">
    <xsd:import namespace="http://schemas.microsoft.com/sharepoint/v3"/>
    <xsd:import namespace="41A7A25E-88C5-415C-AB9A-358CCBEA8A85"/>
    <xsd:import namespace="cd6d2771-e08b-42a3-90f8-eca630337659"/>
    <xsd:element name="properties">
      <xsd:complexType>
        <xsd:sequence>
          <xsd:element name="documentManagement">
            <xsd:complexType>
              <xsd:all>
                <xsd:element ref="ns1:_ModerationComments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2:Priority" minOccurs="0"/>
                <xsd:element ref="ns1:ContentTypeId" minOccurs="0"/>
                <xsd:element ref="ns1:TemplateUrl" minOccurs="0"/>
                <xsd:element ref="ns1:xd_ProgID" minOccurs="0"/>
                <xsd:element ref="ns1:xd_Signature" minOccurs="0"/>
                <xsd:element ref="ns3:Number_x0020_Of_x0020_Viewer" minOccurs="0"/>
                <xsd:element ref="ns1: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MetaInfo" minOccurs="0"/>
                <xsd:element ref="ns1:_Level" minOccurs="0"/>
                <xsd:element ref="ns1:_IsCurrentVersion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_ModerationComments" ma:index="0" nillable="true" ma:displayName="Approver Comments" ma:hidden="true" ma:internalName="_ModerationComments" ma:readOnly="true">
      <xsd:simpleType>
        <xsd:restriction base="dms:Note"/>
      </xsd:simpleType>
    </xsd:element>
    <xsd:element name="File_x0020_Type" ma:index="4" nillable="true" ma:displayName="File Type" ma:hidden="true" ma:internalName="File_x0020_Type" ma:readOnly="true">
      <xsd:simpleType>
        <xsd:restriction base="dms:Text"/>
      </xsd:simpleType>
    </xsd:element>
    <xsd:element name="HTML_x0020_File_x0020_Type" ma:index="5" nillable="true" ma:displayName="HTML File Type" ma:hidden="true" ma:internalName="HTML_x0020_File_x0020_Type" ma:readOnly="true">
      <xsd:simpleType>
        <xsd:restriction base="dms:Text"/>
      </xsd:simpleType>
    </xsd:element>
    <xsd:element name="_SourceUrl" ma:index="6" nillable="true" ma:displayName="Source Url" ma:hidden="true" ma:internalName="_SourceUrl">
      <xsd:simpleType>
        <xsd:restriction base="dms:Text"/>
      </xsd:simpleType>
    </xsd:element>
    <xsd:element name="_SharedFileIndex" ma:index="7" nillable="true" ma:displayName="Shared File Index" ma:hidden="true" ma:internalName="_SharedFileIndex">
      <xsd:simpleType>
        <xsd:restriction base="dms:Text"/>
      </xsd:simpleType>
    </xsd:element>
    <xsd:element name="ContentTypeId" ma:index="10" nillable="true" ma:displayName="Content Type ID" ma:hidden="true" ma:internalName="ContentTypeId" ma:readOnly="true">
      <xsd:simpleType>
        <xsd:restriction base="dms:Unknown"/>
      </xsd:simpleType>
    </xsd:element>
    <xsd:element name="TemplateUrl" ma:index="11" nillable="true" ma:displayName="Template Link" ma:hidden="true" ma:internalName="TemplateUrl">
      <xsd:simpleType>
        <xsd:restriction base="dms:Text"/>
      </xsd:simpleType>
    </xsd:element>
    <xsd:element name="xd_ProgID" ma:index="12" nillable="true" ma:displayName="Html File Link" ma:hidden="true" ma:internalName="xd_ProgID">
      <xsd:simpleType>
        <xsd:restriction base="dms:Text"/>
      </xsd:simpleType>
    </xsd:element>
    <xsd:element name="xd_Signature" ma:index="13" nillable="true" ma:displayName="Is Signed" ma:hidden="true" ma:internalName="xd_Signature" ma:readOnly="true">
      <xsd:simpleType>
        <xsd:restriction base="dms:Boolean"/>
      </xsd:simpleType>
    </xsd:element>
    <xsd:element name="ID" ma:index="15" nillable="true" ma:displayName="ID" ma:internalName="ID" ma:readOnly="true">
      <xsd:simpleType>
        <xsd:restriction base="dms:Unknown"/>
      </xsd:simpleType>
    </xsd:element>
    <xsd:element name="Author" ma:index="18" nillable="true" ma:displayName="Created By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20" nillable="true" ma:displayName="Modified By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21" nillable="true" ma:displayName="Has Copy Destinations" ma:hidden="true" ma:internalName="_HasCopyDestinations" ma:readOnly="true">
      <xsd:simpleType>
        <xsd:restriction base="dms:Boolean"/>
      </xsd:simpleType>
    </xsd:element>
    <xsd:element name="_CopySource" ma:index="22" nillable="true" ma:displayName="Copy Source" ma:internalName="_CopySource" ma:readOnly="true">
      <xsd:simpleType>
        <xsd:restriction base="dms:Text"/>
      </xsd:simpleType>
    </xsd:element>
    <xsd:element name="_ModerationStatus" ma:index="23" nillable="true" ma:displayName="Approval Status" ma:default="0" ma:hidden="true" ma:internalName="_ModerationStatus" ma:readOnly="true">
      <xsd:simpleType>
        <xsd:restriction base="dms:Unknown"/>
      </xsd:simpleType>
    </xsd:element>
    <xsd:element name="FileRef" ma:index="24" nillable="true" ma:displayName="URL Path" ma:hidden="true" ma:list="Docs" ma:internalName="FileRef" ma:readOnly="true" ma:showField="FullUrl">
      <xsd:simpleType>
        <xsd:restriction base="dms:Lookup"/>
      </xsd:simpleType>
    </xsd:element>
    <xsd:element name="FileDirRef" ma:index="25" nillable="true" ma:displayName="Path" ma:hidden="true" ma:list="Docs" ma:internalName="FileDirRef" ma:readOnly="true" ma:showField="DirName">
      <xsd:simpleType>
        <xsd:restriction base="dms:Lookup"/>
      </xsd:simpleType>
    </xsd:element>
    <xsd:element name="Last_x0020_Modified" ma:index="26" nillable="true" ma:displayName="Modified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27" nillable="true" ma:displayName="Created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28" nillable="true" ma:displayName="File Size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29" nillable="true" ma:displayName="Item Type" ma:hidden="true" ma:list="Docs" ma:internalName="FSObjType" ma:readOnly="true" ma:showField="FSType">
      <xsd:simpleType>
        <xsd:restriction base="dms:Lookup"/>
      </xsd:simpleType>
    </xsd:element>
    <xsd:element name="CheckedOutUserId" ma:index="31" nillable="true" ma:displayName="ID of the User who has the item Checked Out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32" nillable="true" ma:displayName="Is Checked out to local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33" nillable="true" ma:displayName="Checked Out To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34" nillable="true" ma:displayName="Unique Id" ma:hidden="true" ma:list="Docs" ma:internalName="UniqueId" ma:readOnly="true" ma:showField="UniqueId">
      <xsd:simpleType>
        <xsd:restriction base="dms:Lookup"/>
      </xsd:simpleType>
    </xsd:element>
    <xsd:element name="ProgId" ma:index="35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36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37" nillable="true" ma:displayName="Virus Status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38" nillable="true" ma:displayName="Checked Out To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39" nillable="true" ma:displayName="Check In Comment" ma:format="TRUE" ma:list="Docs" ma:internalName="_CheckinComment" ma:readOnly="true" ma:showField="CheckinComment">
      <xsd:simpleType>
        <xsd:restriction base="dms:Lookup"/>
      </xsd:simpleType>
    </xsd:element>
    <xsd:element name="MetaInfo" ma:index="50" nillable="true" ma:displayName="Property Bag" ma:hidden="true" ma:list="Docs" ma:internalName="MetaInfo" ma:showField="MetaInfo">
      <xsd:simpleType>
        <xsd:restriction base="dms:Lookup"/>
      </xsd:simpleType>
    </xsd:element>
    <xsd:element name="_Level" ma:index="51" nillable="true" ma:displayName="Level" ma:hidden="true" ma:internalName="_Level" ma:readOnly="true">
      <xsd:simpleType>
        <xsd:restriction base="dms:Unknown"/>
      </xsd:simpleType>
    </xsd:element>
    <xsd:element name="_IsCurrentVersion" ma:index="52" nillable="true" ma:displayName="Is Current Version" ma:hidden="true" ma:internalName="_IsCurrentVersion" ma:readOnly="true">
      <xsd:simpleType>
        <xsd:restriction base="dms:Boolean"/>
      </xsd:simpleType>
    </xsd:element>
    <xsd:element name="owshiddenversion" ma:index="56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57" nillable="true" ma:displayName="UI Version" ma:hidden="true" ma:internalName="_UIVersion" ma:readOnly="true">
      <xsd:simpleType>
        <xsd:restriction base="dms:Unknown"/>
      </xsd:simpleType>
    </xsd:element>
    <xsd:element name="_UIVersionString" ma:index="58" nillable="true" ma:displayName="Version" ma:internalName="_UIVersionString" ma:readOnly="true">
      <xsd:simpleType>
        <xsd:restriction base="dms:Text"/>
      </xsd:simpleType>
    </xsd:element>
    <xsd:element name="InstanceID" ma:index="59" nillable="true" ma:displayName="Instance ID" ma:hidden="true" ma:internalName="InstanceID" ma:readOnly="true">
      <xsd:simpleType>
        <xsd:restriction base="dms:Unknown"/>
      </xsd:simpleType>
    </xsd:element>
    <xsd:element name="Order" ma:index="60" nillable="true" ma:displayName="Order" ma:hidden="true" ma:internalName="Order">
      <xsd:simpleType>
        <xsd:restriction base="dms:Number"/>
      </xsd:simpleType>
    </xsd:element>
    <xsd:element name="GUID" ma:index="61" nillable="true" ma:displayName="GUID" ma:hidden="true" ma:internalName="GUID" ma:readOnly="true">
      <xsd:simpleType>
        <xsd:restriction base="dms:Unknown"/>
      </xsd:simpleType>
    </xsd:element>
    <xsd:element name="WorkflowVersion" ma:index="62" nillable="true" ma:displayName="Workflow Version" ma:hidden="true" ma:internalName="WorkflowVersion" ma:readOnly="true">
      <xsd:simpleType>
        <xsd:restriction base="dms:Unknown"/>
      </xsd:simpleType>
    </xsd:element>
    <xsd:element name="WorkflowInstanceID" ma:index="63" nillable="true" ma:displayName="Workflow Instance ID" ma:hidden="true" ma:internalName="WorkflowInstanceID" ma:readOnly="true">
      <xsd:simpleType>
        <xsd:restriction base="dms:Unknown"/>
      </xsd:simpleType>
    </xsd:element>
    <xsd:element name="ParentVersionString" ma:index="64" nillable="true" ma:displayName="Source Version (Converted Document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65" nillable="true" ma:displayName="Source Name (Converted Document)" ma:hidden="true" ma:list="Docs" ma:internalName="ParentLeafName" ma:readOnly="true" ma:showField="ParentLeafName">
      <xsd:simpleType>
        <xsd:restriction base="dms:Lookup"/>
      </xsd:simpleType>
    </xsd:element>
  </xsd:schema>
  <xsd:schema xmlns:xsd="http://www.w3.org/2001/XMLSchema" xmlns:dms="http://schemas.microsoft.com/office/2006/documentManagement/types" targetNamespace="41A7A25E-88C5-415C-AB9A-358CCBEA8A85" elementFormDefault="qualified">
    <xsd:import namespace="http://schemas.microsoft.com/office/2006/documentManagement/types"/>
    <xsd:element name="Priority" ma:index="9" nillable="true" ma:displayName="Priority" ma:internalName="Priority">
      <xsd:simpleType>
        <xsd:restriction base="dms:Number"/>
      </xsd:simpleType>
    </xsd:element>
  </xsd:schema>
  <xsd:schema xmlns:xsd="http://www.w3.org/2001/XMLSchema" xmlns:dms="http://schemas.microsoft.com/office/2006/documentManagement/types" targetNamespace="cd6d2771-e08b-42a3-90f8-eca630337659" elementFormDefault="qualified">
    <xsd:import namespace="http://schemas.microsoft.com/office/2006/documentManagement/types"/>
    <xsd:element name="Number_x0020_Of_x0020_Viewer" ma:index="14" nillable="true" ma:displayName="Number Of Viewer" ma:default="0" ma:internalName="Number_x0020_Of_x0020_Viewer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 ma:readOnly="true"/>
        <xsd:element ref="dc:title" minOccurs="0" maxOccurs="1" ma:index="8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85ED280E-F51D-42B1-B363-4EC477D089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CAE63D-5380-40ED-A43E-1567E1C203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1A7A25E-88C5-415C-AB9A-358CCBEA8A85"/>
    <ds:schemaRef ds:uri="cd6d2771-e08b-42a3-90f8-eca630337659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Test case List</vt:lpstr>
      <vt:lpstr>Menu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pc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Đức Gia Bảo Nguyễn</cp:lastModifiedBy>
  <cp:lastPrinted>2010-11-12T10:33:20Z</cp:lastPrinted>
  <dcterms:created xsi:type="dcterms:W3CDTF">2011-06-02T09:10:50Z</dcterms:created>
  <dcterms:modified xsi:type="dcterms:W3CDTF">2025-12-21T09:43:23Z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MetaInfo">
    <vt:lpwstr/>
  </property>
  <property fmtid="{D5CDD505-2E9C-101B-9397-08002B2CF9AE}" pid="9" name="_SharedFileIndex">
    <vt:lpwstr/>
  </property>
</Properties>
</file>